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Y41" i="1"/>
  <c r="X41"/>
  <c r="Y40"/>
  <c r="X40"/>
  <c r="Y39"/>
  <c r="X39"/>
  <c r="Y38"/>
  <c r="X38"/>
  <c r="Y37"/>
  <c r="X37"/>
  <c r="Y36"/>
  <c r="X36"/>
  <c r="Y35"/>
  <c r="X35"/>
  <c r="V35"/>
  <c r="U35"/>
  <c r="Y34"/>
  <c r="X34"/>
  <c r="Y33"/>
  <c r="X33"/>
  <c r="Y32"/>
  <c r="X32"/>
  <c r="Y31"/>
  <c r="X31"/>
  <c r="Y30"/>
  <c r="X30"/>
  <c r="V30"/>
  <c r="U30"/>
  <c r="Y29"/>
  <c r="X29"/>
  <c r="Y28"/>
  <c r="X28"/>
  <c r="Y27"/>
  <c r="X27"/>
  <c r="Y26"/>
  <c r="X26"/>
  <c r="Y25"/>
  <c r="X25"/>
  <c r="Y24"/>
  <c r="X24"/>
  <c r="V24"/>
  <c r="U24"/>
  <c r="Y23"/>
  <c r="X23"/>
  <c r="Y22"/>
  <c r="X22"/>
  <c r="Y21"/>
  <c r="X21"/>
  <c r="Y20"/>
  <c r="X20"/>
  <c r="Y19"/>
  <c r="X19"/>
  <c r="V19"/>
  <c r="U19"/>
  <c r="Y18"/>
  <c r="X18"/>
  <c r="Y17"/>
  <c r="X17"/>
  <c r="Y16"/>
  <c r="X16"/>
  <c r="Y15"/>
  <c r="X15"/>
  <c r="Y14"/>
  <c r="X14"/>
  <c r="V14"/>
  <c r="U14"/>
  <c r="Y13"/>
  <c r="X13"/>
  <c r="Y12"/>
  <c r="X12"/>
  <c r="Y11"/>
  <c r="X11"/>
  <c r="Y10"/>
  <c r="X10"/>
  <c r="V10"/>
  <c r="U10"/>
  <c r="Y9"/>
  <c r="X9"/>
  <c r="Y8"/>
  <c r="X8"/>
  <c r="Y7"/>
  <c r="X7"/>
  <c r="Y6"/>
  <c r="X6"/>
  <c r="Y5"/>
  <c r="X5"/>
  <c r="Y4"/>
  <c r="X4"/>
  <c r="V4"/>
  <c r="U4"/>
</calcChain>
</file>

<file path=xl/sharedStrings.xml><?xml version="1.0" encoding="utf-8"?>
<sst xmlns="http://schemas.openxmlformats.org/spreadsheetml/2006/main" count="432" uniqueCount="148">
  <si>
    <t>NO. KK</t>
  </si>
  <si>
    <t>Nama Lengkap</t>
  </si>
  <si>
    <t>NIK</t>
  </si>
  <si>
    <t>Jenis Kelamin</t>
  </si>
  <si>
    <t>Status keluarga</t>
  </si>
  <si>
    <t>Tempat Lahir</t>
  </si>
  <si>
    <t>Tanggal Lahir</t>
  </si>
  <si>
    <t>Agama</t>
  </si>
  <si>
    <t>Pendidikan</t>
  </si>
  <si>
    <t>Jenis Pekerjaan</t>
  </si>
  <si>
    <t>kewarga Negaraan</t>
  </si>
  <si>
    <t>Status Warga</t>
  </si>
  <si>
    <t>Nama Orang Tua</t>
  </si>
  <si>
    <t>Nama Panggilan</t>
  </si>
  <si>
    <t>Keterangan</t>
  </si>
  <si>
    <t>NO KK</t>
  </si>
  <si>
    <t>USIA</t>
  </si>
  <si>
    <t>Ayah</t>
  </si>
  <si>
    <t>Ibu</t>
  </si>
  <si>
    <t>L</t>
  </si>
  <si>
    <t>P</t>
  </si>
  <si>
    <t>3201162511090010</t>
  </si>
  <si>
    <t>SURATNO</t>
  </si>
  <si>
    <t>3201161010810009</t>
  </si>
  <si>
    <t>Laki-Laki</t>
  </si>
  <si>
    <t>BOGOR</t>
  </si>
  <si>
    <t>ISLAM</t>
  </si>
  <si>
    <t>SMP/SEDERAJAT</t>
  </si>
  <si>
    <t>BURUH HARIAN LEPAS</t>
  </si>
  <si>
    <t>KAWIN</t>
  </si>
  <si>
    <t>WNI</t>
  </si>
  <si>
    <t>NUMPANG KELUARGA</t>
  </si>
  <si>
    <t>MAD SUKIK</t>
  </si>
  <si>
    <t>MARDINI</t>
  </si>
  <si>
    <t>Alamat Asat KP. Cicadas RT.002 RW.008</t>
  </si>
  <si>
    <t>NENENG HASANAH</t>
  </si>
  <si>
    <t>3201165206830009</t>
  </si>
  <si>
    <t>Perempuan</t>
  </si>
  <si>
    <t>MENGURUS RUMAH TANGGA</t>
  </si>
  <si>
    <t>UDIN</t>
  </si>
  <si>
    <t>MAMAH</t>
  </si>
  <si>
    <t>M DERIL SAPUTRA</t>
  </si>
  <si>
    <t>3201161205040002</t>
  </si>
  <si>
    <t>SD/SEDERAJAT</t>
  </si>
  <si>
    <t>PELAJAR/MAHASISWA</t>
  </si>
  <si>
    <t>BELUM MENIKAH</t>
  </si>
  <si>
    <t>RATNO</t>
  </si>
  <si>
    <t>REGINA MUTIARA PUTRI</t>
  </si>
  <si>
    <t>3201165310100007</t>
  </si>
  <si>
    <t>BELUM TAMAT SD/SEDERAJAT</t>
  </si>
  <si>
    <t>MUHAMAD RENO OKTAVIAN SAPUTRA</t>
  </si>
  <si>
    <t>3201151110200001</t>
  </si>
  <si>
    <t>TIDAK/BELUM SEKOLAH</t>
  </si>
  <si>
    <t>BELUM/TIDAKBEKERJA</t>
  </si>
  <si>
    <t>3201210606230006</t>
  </si>
  <si>
    <t>JAJAT</t>
  </si>
  <si>
    <t>3201391005770003</t>
  </si>
  <si>
    <t>SOPIR</t>
  </si>
  <si>
    <t>KONTRAN</t>
  </si>
  <si>
    <t>AJAI</t>
  </si>
  <si>
    <t>JURIAH</t>
  </si>
  <si>
    <t>OMAH</t>
  </si>
  <si>
    <t>3201395107790004</t>
  </si>
  <si>
    <t>SARIP</t>
  </si>
  <si>
    <t>HADIJAH</t>
  </si>
  <si>
    <t>AJENG MAULANI</t>
  </si>
  <si>
    <t>3201396205030003</t>
  </si>
  <si>
    <t>3173030901095628</t>
  </si>
  <si>
    <t>DJANUAR FACRI BIN A.SANI</t>
  </si>
  <si>
    <t>3173032101690004</t>
  </si>
  <si>
    <t>JAKARTA</t>
  </si>
  <si>
    <t>WIRASWASTA</t>
  </si>
  <si>
    <t>ACHMAD SANI MUDJENI</t>
  </si>
  <si>
    <t>MUHAYA</t>
  </si>
  <si>
    <t>NURAENI</t>
  </si>
  <si>
    <t>3173034503710002</t>
  </si>
  <si>
    <t>NURHADI</t>
  </si>
  <si>
    <t>AMINAH</t>
  </si>
  <si>
    <t>FITRIYAH</t>
  </si>
  <si>
    <t>3173036302980001</t>
  </si>
  <si>
    <t>PUTRA RAMADHAN</t>
  </si>
  <si>
    <t>3173031708111001</t>
  </si>
  <si>
    <t>3201170911200012</t>
  </si>
  <si>
    <t>ADE ZIHAD</t>
  </si>
  <si>
    <t>3201172904970003</t>
  </si>
  <si>
    <t>SMA/SEDERAJAT</t>
  </si>
  <si>
    <t>NANANG</t>
  </si>
  <si>
    <t>TITIN NAZARILAH</t>
  </si>
  <si>
    <t>TANTI MARDIANI</t>
  </si>
  <si>
    <t>3201164903980003</t>
  </si>
  <si>
    <t>ASEP JUNAEDI</t>
  </si>
  <si>
    <t>UHA</t>
  </si>
  <si>
    <t>ANAK BI UHA</t>
  </si>
  <si>
    <t>ARSHAKA MALIK SHAFWAN</t>
  </si>
  <si>
    <t>3201171911200002</t>
  </si>
  <si>
    <t>ARSYLA QUEENZI HIMAWARI</t>
  </si>
  <si>
    <t>3201174804250003</t>
  </si>
  <si>
    <t>1810030201120009</t>
  </si>
  <si>
    <t>RAMDHONI ANWAR</t>
  </si>
  <si>
    <t>1810030207800006</t>
  </si>
  <si>
    <t>ADI PRIYANTO</t>
  </si>
  <si>
    <t>SITI FATOLIS</t>
  </si>
  <si>
    <t>ISNAINI</t>
  </si>
  <si>
    <t>1810035205840005</t>
  </si>
  <si>
    <t>AMBARAWA</t>
  </si>
  <si>
    <t>SADIRUN</t>
  </si>
  <si>
    <t>WATINI</t>
  </si>
  <si>
    <t>ANNISA SITI NURKAROMAH</t>
  </si>
  <si>
    <t>1810035009060002</t>
  </si>
  <si>
    <t>SAYYIDA NAFISA ANWAR</t>
  </si>
  <si>
    <t>1810035508150002</t>
  </si>
  <si>
    <t>PRINGSEWU</t>
  </si>
  <si>
    <t>ABINAYA AL-FATIH ANWAR</t>
  </si>
  <si>
    <t>1810032908160001</t>
  </si>
  <si>
    <t>3271060205170018</t>
  </si>
  <si>
    <t>REZA KURNIA</t>
  </si>
  <si>
    <t>3271060305950001</t>
  </si>
  <si>
    <t>KARAWAN SWASTA</t>
  </si>
  <si>
    <t>ENDANG KURNIA</t>
  </si>
  <si>
    <t>ERNI SYARIF</t>
  </si>
  <si>
    <t>SITI NURHAYATI</t>
  </si>
  <si>
    <t>3201166211970002</t>
  </si>
  <si>
    <t>HERMAN MUSTOPA</t>
  </si>
  <si>
    <t>SITI ROHMA</t>
  </si>
  <si>
    <t>NADIRA STEFANI AMORA</t>
  </si>
  <si>
    <t>3271065208170007</t>
  </si>
  <si>
    <t>RAYZAYAN KYLANZA</t>
  </si>
  <si>
    <t>3271061205220004</t>
  </si>
  <si>
    <t>3201172603620001</t>
  </si>
  <si>
    <t>ACIN SETIAWAN</t>
  </si>
  <si>
    <t>D3</t>
  </si>
  <si>
    <t>PNS</t>
  </si>
  <si>
    <t>NATA</t>
  </si>
  <si>
    <t xml:space="preserve">SATI </t>
  </si>
  <si>
    <t>TRIANI KURNIA</t>
  </si>
  <si>
    <t>3201174210690008</t>
  </si>
  <si>
    <t>RADEN SOBANA PERYANA</t>
  </si>
  <si>
    <t>NENENG YONAHA</t>
  </si>
  <si>
    <t>SHERRIN AULIA SAFIRA</t>
  </si>
  <si>
    <t>3201176911950007</t>
  </si>
  <si>
    <t>SELSA OLIVIA NATASYA</t>
  </si>
  <si>
    <t>3201176209020006</t>
  </si>
  <si>
    <t>KEYSA CALLISTA ALODIA KIRANA</t>
  </si>
  <si>
    <t>3201174412090009</t>
  </si>
  <si>
    <t>Kepala Keluarga</t>
  </si>
  <si>
    <t>Istri</t>
  </si>
  <si>
    <t>Anak</t>
  </si>
  <si>
    <t>Sataus Perkawinan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</si>
</sst>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0" fontId="0" fillId="0" borderId="5" xfId="0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2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Y41"/>
  <sheetViews>
    <sheetView tabSelected="1" topLeftCell="E1" workbookViewId="0">
      <selection activeCell="L2" sqref="L2:L3"/>
    </sheetView>
  </sheetViews>
  <sheetFormatPr defaultRowHeight="15"/>
  <cols>
    <col min="2" max="2" width="19.5703125" bestFit="1" customWidth="1"/>
    <col min="3" max="3" width="35.5703125" bestFit="1" customWidth="1"/>
    <col min="4" max="4" width="19.5703125" bestFit="1" customWidth="1"/>
    <col min="5" max="5" width="14.140625" bestFit="1" customWidth="1"/>
    <col min="6" max="6" width="16.42578125" bestFit="1" customWidth="1"/>
    <col min="7" max="7" width="14" bestFit="1" customWidth="1"/>
    <col min="8" max="8" width="13.7109375" bestFit="1" customWidth="1"/>
    <col min="10" max="10" width="32.42578125" bestFit="1" customWidth="1"/>
    <col min="11" max="11" width="30.42578125" bestFit="1" customWidth="1"/>
    <col min="12" max="12" width="20" bestFit="1" customWidth="1"/>
    <col min="14" max="14" width="23.28515625" bestFit="1" customWidth="1"/>
    <col min="15" max="15" width="28.7109375" bestFit="1" customWidth="1"/>
    <col min="16" max="16" width="20.140625" bestFit="1" customWidth="1"/>
    <col min="17" max="17" width="16.42578125" bestFit="1" customWidth="1"/>
    <col min="18" max="18" width="41.140625" bestFit="1" customWidth="1"/>
  </cols>
  <sheetData>
    <row r="2" spans="2:25" s="1" customFormat="1" ht="14.25" customHeight="1">
      <c r="B2" s="17" t="s">
        <v>0</v>
      </c>
      <c r="C2" s="19" t="s">
        <v>1</v>
      </c>
      <c r="D2" s="17" t="s">
        <v>2</v>
      </c>
      <c r="E2" s="19" t="s">
        <v>3</v>
      </c>
      <c r="F2" s="19" t="s">
        <v>4</v>
      </c>
      <c r="G2" s="15" t="s">
        <v>5</v>
      </c>
      <c r="H2" s="15" t="s">
        <v>6</v>
      </c>
      <c r="I2" s="15" t="s">
        <v>7</v>
      </c>
      <c r="J2" s="19" t="s">
        <v>8</v>
      </c>
      <c r="K2" s="15" t="s">
        <v>9</v>
      </c>
      <c r="L2" s="15" t="s">
        <v>147</v>
      </c>
      <c r="M2" s="15" t="s">
        <v>10</v>
      </c>
      <c r="N2" s="19" t="s">
        <v>11</v>
      </c>
      <c r="O2" s="15" t="s">
        <v>12</v>
      </c>
      <c r="P2" s="15"/>
      <c r="Q2" s="15" t="s">
        <v>13</v>
      </c>
      <c r="R2" s="15" t="s">
        <v>14</v>
      </c>
      <c r="U2" s="21" t="s">
        <v>15</v>
      </c>
      <c r="V2" s="21"/>
      <c r="X2" s="22" t="s">
        <v>16</v>
      </c>
      <c r="Y2" s="22"/>
    </row>
    <row r="3" spans="2:25" s="1" customFormat="1" ht="16.5" customHeight="1" thickBot="1">
      <c r="B3" s="18"/>
      <c r="C3" s="20"/>
      <c r="D3" s="18"/>
      <c r="E3" s="20"/>
      <c r="F3" s="20"/>
      <c r="G3" s="16"/>
      <c r="H3" s="16"/>
      <c r="I3" s="16"/>
      <c r="J3" s="20"/>
      <c r="K3" s="16"/>
      <c r="L3" s="16"/>
      <c r="M3" s="16"/>
      <c r="N3" s="20"/>
      <c r="O3" s="2" t="s">
        <v>17</v>
      </c>
      <c r="P3" s="2" t="s">
        <v>18</v>
      </c>
      <c r="Q3" s="16"/>
      <c r="R3" s="16"/>
      <c r="U3" s="3" t="s">
        <v>19</v>
      </c>
      <c r="V3" s="3" t="s">
        <v>20</v>
      </c>
      <c r="X3" s="3" t="s">
        <v>19</v>
      </c>
      <c r="Y3" s="4" t="s">
        <v>20</v>
      </c>
    </row>
    <row r="4" spans="2:25" s="1" customFormat="1" ht="15.75" thickTop="1">
      <c r="B4" s="5" t="s">
        <v>21</v>
      </c>
      <c r="C4" s="6" t="s">
        <v>22</v>
      </c>
      <c r="D4" s="7" t="s">
        <v>23</v>
      </c>
      <c r="E4" s="8" t="s">
        <v>24</v>
      </c>
      <c r="F4" s="9" t="s">
        <v>144</v>
      </c>
      <c r="G4" s="10" t="s">
        <v>25</v>
      </c>
      <c r="H4" s="11">
        <v>29869</v>
      </c>
      <c r="I4" s="10" t="s">
        <v>26</v>
      </c>
      <c r="J4" s="10" t="s">
        <v>27</v>
      </c>
      <c r="K4" s="10" t="s">
        <v>28</v>
      </c>
      <c r="L4" s="10" t="s">
        <v>29</v>
      </c>
      <c r="M4" s="10" t="s">
        <v>30</v>
      </c>
      <c r="N4" s="10" t="s">
        <v>31</v>
      </c>
      <c r="O4" s="10" t="s">
        <v>32</v>
      </c>
      <c r="P4" s="10" t="s">
        <v>33</v>
      </c>
      <c r="Q4" s="10"/>
      <c r="R4" s="23" t="s">
        <v>34</v>
      </c>
      <c r="U4" s="1" t="str">
        <f>IF(E4="Laki-Laki","Laki-Laki","")</f>
        <v>Laki-Laki</v>
      </c>
      <c r="V4" s="1" t="str">
        <f t="shared" ref="V4" si="0">IF(E4="Perempuan","Perempuan","")</f>
        <v/>
      </c>
      <c r="X4" s="1">
        <f t="shared" ref="X4:X41" ca="1" si="1">IF(E4="Laki-Laki",DATEDIF(H4,TODAY(),"y"),"")</f>
        <v>44</v>
      </c>
      <c r="Y4" s="1" t="str">
        <f t="shared" ref="Y4:Y41" ca="1" si="2">IF(E4="Perempuan",DATEDIF(H4,TODAY(),"y"),"")</f>
        <v/>
      </c>
    </row>
    <row r="5" spans="2:25" s="1" customFormat="1">
      <c r="B5" s="7"/>
      <c r="C5" s="12" t="s">
        <v>35</v>
      </c>
      <c r="D5" s="7" t="s">
        <v>36</v>
      </c>
      <c r="E5" s="8" t="s">
        <v>37</v>
      </c>
      <c r="F5" s="9" t="s">
        <v>145</v>
      </c>
      <c r="G5" s="10" t="s">
        <v>25</v>
      </c>
      <c r="H5" s="11">
        <v>30479</v>
      </c>
      <c r="I5" s="10" t="s">
        <v>26</v>
      </c>
      <c r="J5" s="10" t="s">
        <v>27</v>
      </c>
      <c r="K5" s="10" t="s">
        <v>38</v>
      </c>
      <c r="L5" s="10" t="s">
        <v>29</v>
      </c>
      <c r="M5" s="10" t="s">
        <v>30</v>
      </c>
      <c r="N5" s="10" t="s">
        <v>31</v>
      </c>
      <c r="O5" s="10" t="s">
        <v>39</v>
      </c>
      <c r="P5" s="10" t="s">
        <v>40</v>
      </c>
      <c r="Q5" s="10"/>
      <c r="R5" s="24"/>
      <c r="X5" s="1" t="str">
        <f t="shared" ca="1" si="1"/>
        <v/>
      </c>
      <c r="Y5" s="1">
        <f t="shared" ca="1" si="2"/>
        <v>42</v>
      </c>
    </row>
    <row r="6" spans="2:25" s="1" customFormat="1">
      <c r="B6" s="7"/>
      <c r="C6" s="12" t="s">
        <v>41</v>
      </c>
      <c r="D6" s="7" t="s">
        <v>42</v>
      </c>
      <c r="E6" s="8" t="s">
        <v>24</v>
      </c>
      <c r="F6" s="9" t="s">
        <v>146</v>
      </c>
      <c r="G6" s="10" t="s">
        <v>25</v>
      </c>
      <c r="H6" s="11">
        <v>37938</v>
      </c>
      <c r="I6" s="10" t="s">
        <v>26</v>
      </c>
      <c r="J6" s="10" t="s">
        <v>43</v>
      </c>
      <c r="K6" s="10" t="s">
        <v>44</v>
      </c>
      <c r="L6" s="10" t="s">
        <v>45</v>
      </c>
      <c r="M6" s="10" t="s">
        <v>30</v>
      </c>
      <c r="N6" s="10" t="s">
        <v>31</v>
      </c>
      <c r="O6" s="10" t="s">
        <v>22</v>
      </c>
      <c r="P6" s="10" t="s">
        <v>35</v>
      </c>
      <c r="Q6" s="10" t="s">
        <v>46</v>
      </c>
      <c r="R6" s="24"/>
      <c r="X6" s="1">
        <f t="shared" ca="1" si="1"/>
        <v>22</v>
      </c>
      <c r="Y6" s="1" t="str">
        <f t="shared" ca="1" si="2"/>
        <v/>
      </c>
    </row>
    <row r="7" spans="2:25" s="1" customFormat="1">
      <c r="B7" s="7"/>
      <c r="C7" s="12" t="s">
        <v>47</v>
      </c>
      <c r="D7" s="7" t="s">
        <v>48</v>
      </c>
      <c r="E7" s="8" t="s">
        <v>37</v>
      </c>
      <c r="F7" s="9" t="s">
        <v>146</v>
      </c>
      <c r="G7" s="10" t="s">
        <v>25</v>
      </c>
      <c r="H7" s="11">
        <v>40464</v>
      </c>
      <c r="I7" s="10" t="s">
        <v>26</v>
      </c>
      <c r="J7" s="10" t="s">
        <v>49</v>
      </c>
      <c r="K7" s="10" t="s">
        <v>44</v>
      </c>
      <c r="L7" s="10" t="s">
        <v>45</v>
      </c>
      <c r="M7" s="10" t="s">
        <v>30</v>
      </c>
      <c r="N7" s="10" t="s">
        <v>31</v>
      </c>
      <c r="O7" s="10" t="s">
        <v>22</v>
      </c>
      <c r="P7" s="10" t="s">
        <v>35</v>
      </c>
      <c r="Q7" s="10"/>
      <c r="R7" s="24"/>
      <c r="X7" s="1" t="str">
        <f t="shared" ca="1" si="1"/>
        <v/>
      </c>
      <c r="Y7" s="1">
        <f t="shared" ca="1" si="2"/>
        <v>15</v>
      </c>
    </row>
    <row r="8" spans="2:25" s="1" customFormat="1">
      <c r="B8" s="7"/>
      <c r="C8" s="12" t="s">
        <v>50</v>
      </c>
      <c r="D8" s="7" t="s">
        <v>51</v>
      </c>
      <c r="E8" s="8" t="s">
        <v>24</v>
      </c>
      <c r="F8" s="9" t="s">
        <v>146</v>
      </c>
      <c r="G8" s="10" t="s">
        <v>25</v>
      </c>
      <c r="H8" s="11">
        <v>44115</v>
      </c>
      <c r="I8" s="10" t="s">
        <v>26</v>
      </c>
      <c r="J8" s="10" t="s">
        <v>52</v>
      </c>
      <c r="K8" s="10" t="s">
        <v>53</v>
      </c>
      <c r="L8" s="10" t="s">
        <v>45</v>
      </c>
      <c r="M8" s="10" t="s">
        <v>30</v>
      </c>
      <c r="N8" s="10" t="s">
        <v>31</v>
      </c>
      <c r="O8" s="10" t="s">
        <v>22</v>
      </c>
      <c r="P8" s="10" t="s">
        <v>35</v>
      </c>
      <c r="Q8" s="10"/>
      <c r="R8" s="25"/>
      <c r="X8" s="1">
        <f t="shared" ca="1" si="1"/>
        <v>5</v>
      </c>
      <c r="Y8" s="1" t="str">
        <f t="shared" ca="1" si="2"/>
        <v/>
      </c>
    </row>
    <row r="9" spans="2:25" s="1" customFormat="1" ht="14.25">
      <c r="B9" s="7"/>
      <c r="C9" s="13"/>
      <c r="D9" s="7"/>
      <c r="E9" s="8"/>
      <c r="F9" s="9"/>
      <c r="G9" s="10"/>
      <c r="H9" s="11"/>
      <c r="I9" s="10"/>
      <c r="J9" s="10"/>
      <c r="K9" s="10"/>
      <c r="L9" s="10"/>
      <c r="M9" s="10" t="s">
        <v>30</v>
      </c>
      <c r="N9" s="10"/>
      <c r="O9" s="10"/>
      <c r="P9" s="10"/>
      <c r="Q9" s="10"/>
      <c r="R9" s="14"/>
      <c r="X9" s="1" t="str">
        <f t="shared" ca="1" si="1"/>
        <v/>
      </c>
      <c r="Y9" s="1" t="str">
        <f t="shared" ca="1" si="2"/>
        <v/>
      </c>
    </row>
    <row r="10" spans="2:25" s="1" customFormat="1" ht="14.25">
      <c r="B10" s="7" t="s">
        <v>54</v>
      </c>
      <c r="C10" s="13" t="s">
        <v>55</v>
      </c>
      <c r="D10" s="7" t="s">
        <v>56</v>
      </c>
      <c r="E10" s="8" t="s">
        <v>24</v>
      </c>
      <c r="F10" s="9" t="s">
        <v>144</v>
      </c>
      <c r="G10" s="10" t="s">
        <v>25</v>
      </c>
      <c r="H10" s="11">
        <v>28255</v>
      </c>
      <c r="I10" s="10" t="s">
        <v>26</v>
      </c>
      <c r="J10" s="10" t="s">
        <v>43</v>
      </c>
      <c r="K10" s="10" t="s">
        <v>57</v>
      </c>
      <c r="L10" s="10" t="s">
        <v>29</v>
      </c>
      <c r="M10" s="10" t="s">
        <v>30</v>
      </c>
      <c r="N10" s="10" t="s">
        <v>58</v>
      </c>
      <c r="O10" s="10" t="s">
        <v>59</v>
      </c>
      <c r="P10" s="10" t="s">
        <v>60</v>
      </c>
      <c r="Q10" s="10"/>
      <c r="R10" s="14"/>
      <c r="U10" s="1" t="str">
        <f>IF(E10="Laki-Laki","Laki-Laki","")</f>
        <v>Laki-Laki</v>
      </c>
      <c r="V10" s="1" t="str">
        <f t="shared" ref="V10" si="3">IF(E10="Perempuan","Perempuan","")</f>
        <v/>
      </c>
      <c r="X10" s="1">
        <f t="shared" ca="1" si="1"/>
        <v>48</v>
      </c>
      <c r="Y10" s="1" t="str">
        <f t="shared" ca="1" si="2"/>
        <v/>
      </c>
    </row>
    <row r="11" spans="2:25" s="1" customFormat="1" ht="14.25">
      <c r="B11" s="7"/>
      <c r="C11" s="13" t="s">
        <v>61</v>
      </c>
      <c r="D11" s="7" t="s">
        <v>62</v>
      </c>
      <c r="E11" s="8" t="s">
        <v>37</v>
      </c>
      <c r="F11" s="9" t="s">
        <v>145</v>
      </c>
      <c r="G11" s="10" t="s">
        <v>25</v>
      </c>
      <c r="H11" s="11">
        <v>29047</v>
      </c>
      <c r="I11" s="10" t="s">
        <v>26</v>
      </c>
      <c r="J11" s="10" t="s">
        <v>43</v>
      </c>
      <c r="K11" s="10" t="s">
        <v>38</v>
      </c>
      <c r="L11" s="10" t="s">
        <v>29</v>
      </c>
      <c r="M11" s="10" t="s">
        <v>30</v>
      </c>
      <c r="N11" s="10" t="s">
        <v>58</v>
      </c>
      <c r="O11" s="10" t="s">
        <v>63</v>
      </c>
      <c r="P11" s="10" t="s">
        <v>64</v>
      </c>
      <c r="Q11" s="10"/>
      <c r="R11" s="14"/>
      <c r="X11" s="1" t="str">
        <f t="shared" ca="1" si="1"/>
        <v/>
      </c>
      <c r="Y11" s="1">
        <f t="shared" ca="1" si="2"/>
        <v>46</v>
      </c>
    </row>
    <row r="12" spans="2:25" s="1" customFormat="1" ht="14.25">
      <c r="B12" s="7"/>
      <c r="C12" s="13" t="s">
        <v>65</v>
      </c>
      <c r="D12" s="7" t="s">
        <v>66</v>
      </c>
      <c r="E12" s="8" t="s">
        <v>37</v>
      </c>
      <c r="F12" s="9" t="s">
        <v>146</v>
      </c>
      <c r="G12" s="10" t="s">
        <v>25</v>
      </c>
      <c r="H12" s="11">
        <v>37763</v>
      </c>
      <c r="I12" s="10" t="s">
        <v>26</v>
      </c>
      <c r="J12" s="10" t="s">
        <v>49</v>
      </c>
      <c r="K12" s="10" t="s">
        <v>44</v>
      </c>
      <c r="L12" s="10" t="s">
        <v>45</v>
      </c>
      <c r="M12" s="10" t="s">
        <v>30</v>
      </c>
      <c r="N12" s="10" t="s">
        <v>58</v>
      </c>
      <c r="O12" s="10" t="s">
        <v>55</v>
      </c>
      <c r="P12" s="10" t="s">
        <v>61</v>
      </c>
      <c r="Q12" s="10"/>
      <c r="R12" s="14"/>
      <c r="X12" s="1" t="str">
        <f t="shared" ca="1" si="1"/>
        <v/>
      </c>
      <c r="Y12" s="1">
        <f t="shared" ca="1" si="2"/>
        <v>22</v>
      </c>
    </row>
    <row r="13" spans="2:25" s="1" customFormat="1" ht="14.25">
      <c r="B13" s="7"/>
      <c r="C13" s="13"/>
      <c r="D13" s="7"/>
      <c r="E13" s="8"/>
      <c r="F13" s="9"/>
      <c r="G13" s="10"/>
      <c r="H13" s="11"/>
      <c r="I13" s="10"/>
      <c r="J13" s="10"/>
      <c r="K13" s="10"/>
      <c r="L13" s="10"/>
      <c r="M13" s="10" t="s">
        <v>30</v>
      </c>
      <c r="N13" s="10"/>
      <c r="O13" s="10"/>
      <c r="P13" s="10"/>
      <c r="Q13" s="10"/>
      <c r="R13" s="14"/>
      <c r="X13" s="1" t="str">
        <f t="shared" ca="1" si="1"/>
        <v/>
      </c>
      <c r="Y13" s="1" t="str">
        <f t="shared" ca="1" si="2"/>
        <v/>
      </c>
    </row>
    <row r="14" spans="2:25" s="1" customFormat="1" ht="14.25">
      <c r="B14" s="7" t="s">
        <v>67</v>
      </c>
      <c r="C14" s="13" t="s">
        <v>68</v>
      </c>
      <c r="D14" s="7" t="s">
        <v>69</v>
      </c>
      <c r="E14" s="8" t="s">
        <v>24</v>
      </c>
      <c r="F14" s="9" t="s">
        <v>144</v>
      </c>
      <c r="G14" s="10" t="s">
        <v>70</v>
      </c>
      <c r="H14" s="11">
        <v>25224</v>
      </c>
      <c r="I14" s="10" t="s">
        <v>26</v>
      </c>
      <c r="J14" s="10" t="s">
        <v>27</v>
      </c>
      <c r="K14" s="10" t="s">
        <v>71</v>
      </c>
      <c r="L14" s="10" t="s">
        <v>29</v>
      </c>
      <c r="M14" s="10" t="s">
        <v>30</v>
      </c>
      <c r="N14" s="10" t="s">
        <v>58</v>
      </c>
      <c r="O14" s="10" t="s">
        <v>72</v>
      </c>
      <c r="P14" s="10" t="s">
        <v>73</v>
      </c>
      <c r="Q14" s="10"/>
      <c r="R14" s="14"/>
      <c r="U14" s="1" t="str">
        <f>IF(E14="Laki-Laki","Laki-Laki","")</f>
        <v>Laki-Laki</v>
      </c>
      <c r="V14" s="1" t="str">
        <f t="shared" ref="V14" si="4">IF(E14="Perempuan","Perempuan","")</f>
        <v/>
      </c>
      <c r="X14" s="1">
        <f t="shared" ca="1" si="1"/>
        <v>57</v>
      </c>
      <c r="Y14" s="1" t="str">
        <f t="shared" ca="1" si="2"/>
        <v/>
      </c>
    </row>
    <row r="15" spans="2:25" s="1" customFormat="1" ht="14.25">
      <c r="B15" s="7"/>
      <c r="C15" s="13" t="s">
        <v>74</v>
      </c>
      <c r="D15" s="7" t="s">
        <v>75</v>
      </c>
      <c r="E15" s="8" t="s">
        <v>37</v>
      </c>
      <c r="F15" s="9" t="s">
        <v>145</v>
      </c>
      <c r="G15" s="10" t="s">
        <v>70</v>
      </c>
      <c r="H15" s="11">
        <v>25997</v>
      </c>
      <c r="I15" s="10" t="s">
        <v>26</v>
      </c>
      <c r="J15" s="10" t="s">
        <v>27</v>
      </c>
      <c r="K15" s="10" t="s">
        <v>38</v>
      </c>
      <c r="L15" s="10" t="s">
        <v>29</v>
      </c>
      <c r="M15" s="10" t="s">
        <v>30</v>
      </c>
      <c r="N15" s="10" t="s">
        <v>58</v>
      </c>
      <c r="O15" s="10" t="s">
        <v>76</v>
      </c>
      <c r="P15" s="10" t="s">
        <v>77</v>
      </c>
      <c r="Q15" s="10"/>
      <c r="R15" s="14"/>
      <c r="X15" s="1" t="str">
        <f t="shared" ca="1" si="1"/>
        <v/>
      </c>
      <c r="Y15" s="1">
        <f t="shared" ca="1" si="2"/>
        <v>55</v>
      </c>
    </row>
    <row r="16" spans="2:25" s="1" customFormat="1" ht="14.25">
      <c r="B16" s="7"/>
      <c r="C16" s="13" t="s">
        <v>78</v>
      </c>
      <c r="D16" s="7" t="s">
        <v>79</v>
      </c>
      <c r="E16" s="8" t="s">
        <v>37</v>
      </c>
      <c r="F16" s="9" t="s">
        <v>146</v>
      </c>
      <c r="G16" s="10" t="s">
        <v>70</v>
      </c>
      <c r="H16" s="11">
        <v>35849</v>
      </c>
      <c r="I16" s="10" t="s">
        <v>26</v>
      </c>
      <c r="J16" s="10" t="s">
        <v>27</v>
      </c>
      <c r="K16" s="10" t="s">
        <v>44</v>
      </c>
      <c r="L16" s="10" t="s">
        <v>45</v>
      </c>
      <c r="M16" s="10" t="s">
        <v>30</v>
      </c>
      <c r="N16" s="10" t="s">
        <v>58</v>
      </c>
      <c r="O16" s="13" t="s">
        <v>68</v>
      </c>
      <c r="P16" s="10" t="s">
        <v>74</v>
      </c>
      <c r="Q16" s="10"/>
      <c r="R16" s="14"/>
      <c r="X16" s="1" t="str">
        <f t="shared" ca="1" si="1"/>
        <v/>
      </c>
      <c r="Y16" s="1">
        <f t="shared" ca="1" si="2"/>
        <v>28</v>
      </c>
    </row>
    <row r="17" spans="2:25" s="1" customFormat="1" ht="14.25">
      <c r="B17" s="7"/>
      <c r="C17" s="13" t="s">
        <v>80</v>
      </c>
      <c r="D17" s="7" t="s">
        <v>81</v>
      </c>
      <c r="E17" s="8" t="s">
        <v>24</v>
      </c>
      <c r="F17" s="9" t="s">
        <v>146</v>
      </c>
      <c r="G17" s="10" t="s">
        <v>70</v>
      </c>
      <c r="H17" s="11">
        <v>40772</v>
      </c>
      <c r="I17" s="10" t="s">
        <v>26</v>
      </c>
      <c r="J17" s="10" t="s">
        <v>52</v>
      </c>
      <c r="K17" s="10" t="s">
        <v>53</v>
      </c>
      <c r="L17" s="10" t="s">
        <v>45</v>
      </c>
      <c r="M17" s="10" t="s">
        <v>30</v>
      </c>
      <c r="N17" s="10" t="s">
        <v>58</v>
      </c>
      <c r="O17" s="13" t="s">
        <v>68</v>
      </c>
      <c r="P17" s="10" t="s">
        <v>74</v>
      </c>
      <c r="Q17" s="10"/>
      <c r="R17" s="14"/>
      <c r="X17" s="1">
        <f t="shared" ca="1" si="1"/>
        <v>14</v>
      </c>
      <c r="Y17" s="1" t="str">
        <f t="shared" ca="1" si="2"/>
        <v/>
      </c>
    </row>
    <row r="18" spans="2:25" s="1" customFormat="1" ht="14.25">
      <c r="B18" s="7"/>
      <c r="C18" s="13"/>
      <c r="D18" s="7"/>
      <c r="E18" s="8"/>
      <c r="F18" s="9"/>
      <c r="G18" s="10"/>
      <c r="H18" s="11"/>
      <c r="I18" s="10"/>
      <c r="J18" s="10"/>
      <c r="K18" s="10"/>
      <c r="L18" s="10"/>
      <c r="M18" s="10" t="s">
        <v>30</v>
      </c>
      <c r="N18" s="10"/>
      <c r="O18" s="10"/>
      <c r="P18" s="10"/>
      <c r="Q18" s="10"/>
      <c r="R18" s="14"/>
      <c r="X18" s="1" t="str">
        <f t="shared" ca="1" si="1"/>
        <v/>
      </c>
      <c r="Y18" s="1" t="str">
        <f t="shared" ca="1" si="2"/>
        <v/>
      </c>
    </row>
    <row r="19" spans="2:25" s="1" customFormat="1" ht="14.25">
      <c r="B19" s="7" t="s">
        <v>82</v>
      </c>
      <c r="C19" s="13" t="s">
        <v>83</v>
      </c>
      <c r="D19" s="7" t="s">
        <v>84</v>
      </c>
      <c r="E19" s="8" t="s">
        <v>24</v>
      </c>
      <c r="F19" s="9" t="s">
        <v>144</v>
      </c>
      <c r="G19" s="10" t="s">
        <v>25</v>
      </c>
      <c r="H19" s="11">
        <v>35549</v>
      </c>
      <c r="I19" s="10" t="s">
        <v>26</v>
      </c>
      <c r="J19" s="10" t="s">
        <v>85</v>
      </c>
      <c r="K19" s="10" t="s">
        <v>71</v>
      </c>
      <c r="L19" s="10" t="s">
        <v>29</v>
      </c>
      <c r="M19" s="10" t="s">
        <v>30</v>
      </c>
      <c r="N19" s="10" t="s">
        <v>31</v>
      </c>
      <c r="O19" s="10" t="s">
        <v>86</v>
      </c>
      <c r="P19" s="10" t="s">
        <v>87</v>
      </c>
      <c r="Q19" s="10"/>
      <c r="R19" s="14"/>
      <c r="U19" s="1" t="str">
        <f>IF(E19="Laki-Laki","Laki-Laki","")</f>
        <v>Laki-Laki</v>
      </c>
      <c r="V19" s="1" t="str">
        <f t="shared" ref="V19" si="5">IF(E19="Perempuan","Perempuan","")</f>
        <v/>
      </c>
      <c r="X19" s="1">
        <f t="shared" ca="1" si="1"/>
        <v>28</v>
      </c>
      <c r="Y19" s="1" t="str">
        <f t="shared" ca="1" si="2"/>
        <v/>
      </c>
    </row>
    <row r="20" spans="2:25" s="1" customFormat="1" ht="14.25">
      <c r="B20" s="7"/>
      <c r="C20" s="13" t="s">
        <v>88</v>
      </c>
      <c r="D20" s="7" t="s">
        <v>89</v>
      </c>
      <c r="E20" s="8" t="s">
        <v>37</v>
      </c>
      <c r="F20" s="9" t="s">
        <v>145</v>
      </c>
      <c r="G20" s="10" t="s">
        <v>25</v>
      </c>
      <c r="H20" s="11">
        <v>35863</v>
      </c>
      <c r="I20" s="10" t="s">
        <v>26</v>
      </c>
      <c r="J20" s="10" t="s">
        <v>85</v>
      </c>
      <c r="K20" s="10" t="s">
        <v>38</v>
      </c>
      <c r="L20" s="10" t="s">
        <v>29</v>
      </c>
      <c r="M20" s="10" t="s">
        <v>30</v>
      </c>
      <c r="N20" s="10" t="s">
        <v>31</v>
      </c>
      <c r="O20" s="10" t="s">
        <v>90</v>
      </c>
      <c r="P20" s="10" t="s">
        <v>91</v>
      </c>
      <c r="Q20" s="10" t="s">
        <v>92</v>
      </c>
      <c r="R20" s="14"/>
      <c r="X20" s="1" t="str">
        <f t="shared" ca="1" si="1"/>
        <v/>
      </c>
      <c r="Y20" s="1">
        <f t="shared" ca="1" si="2"/>
        <v>28</v>
      </c>
    </row>
    <row r="21" spans="2:25" s="1" customFormat="1" ht="14.25">
      <c r="B21" s="7"/>
      <c r="C21" s="13" t="s">
        <v>93</v>
      </c>
      <c r="D21" s="7" t="s">
        <v>94</v>
      </c>
      <c r="E21" s="8" t="s">
        <v>24</v>
      </c>
      <c r="F21" s="9" t="s">
        <v>146</v>
      </c>
      <c r="G21" s="10" t="s">
        <v>25</v>
      </c>
      <c r="H21" s="11">
        <v>44154</v>
      </c>
      <c r="I21" s="10" t="s">
        <v>26</v>
      </c>
      <c r="J21" s="10" t="s">
        <v>52</v>
      </c>
      <c r="K21" s="10" t="s">
        <v>53</v>
      </c>
      <c r="L21" s="10" t="s">
        <v>45</v>
      </c>
      <c r="M21" s="10" t="s">
        <v>30</v>
      </c>
      <c r="N21" s="10" t="s">
        <v>31</v>
      </c>
      <c r="O21" s="10" t="s">
        <v>83</v>
      </c>
      <c r="P21" s="10" t="s">
        <v>88</v>
      </c>
      <c r="Q21" s="10"/>
      <c r="R21" s="14"/>
      <c r="X21" s="1">
        <f t="shared" ca="1" si="1"/>
        <v>5</v>
      </c>
      <c r="Y21" s="1" t="str">
        <f t="shared" ca="1" si="2"/>
        <v/>
      </c>
    </row>
    <row r="22" spans="2:25" s="1" customFormat="1" ht="14.25">
      <c r="B22" s="7"/>
      <c r="C22" s="13" t="s">
        <v>95</v>
      </c>
      <c r="D22" s="7" t="s">
        <v>96</v>
      </c>
      <c r="E22" s="8" t="s">
        <v>37</v>
      </c>
      <c r="F22" s="9" t="s">
        <v>146</v>
      </c>
      <c r="G22" s="10" t="s">
        <v>25</v>
      </c>
      <c r="H22" s="11">
        <v>45755</v>
      </c>
      <c r="I22" s="10" t="s">
        <v>26</v>
      </c>
      <c r="J22" s="10" t="s">
        <v>52</v>
      </c>
      <c r="K22" s="10" t="s">
        <v>53</v>
      </c>
      <c r="L22" s="10" t="s">
        <v>45</v>
      </c>
      <c r="M22" s="10" t="s">
        <v>30</v>
      </c>
      <c r="N22" s="10" t="s">
        <v>31</v>
      </c>
      <c r="O22" s="10" t="s">
        <v>83</v>
      </c>
      <c r="P22" s="10" t="s">
        <v>88</v>
      </c>
      <c r="Q22" s="10"/>
      <c r="R22" s="14"/>
      <c r="X22" s="1" t="str">
        <f t="shared" ca="1" si="1"/>
        <v/>
      </c>
      <c r="Y22" s="1">
        <f t="shared" ca="1" si="2"/>
        <v>1</v>
      </c>
    </row>
    <row r="23" spans="2:25" s="1" customFormat="1" ht="14.25">
      <c r="B23" s="7"/>
      <c r="C23" s="13"/>
      <c r="D23" s="7"/>
      <c r="E23" s="8"/>
      <c r="F23" s="9"/>
      <c r="G23" s="10"/>
      <c r="H23" s="11"/>
      <c r="I23" s="10"/>
      <c r="J23" s="10"/>
      <c r="K23" s="10"/>
      <c r="L23" s="10"/>
      <c r="M23" s="10" t="s">
        <v>30</v>
      </c>
      <c r="N23" s="10"/>
      <c r="O23" s="10"/>
      <c r="P23" s="10"/>
      <c r="Q23" s="10"/>
      <c r="R23" s="14"/>
      <c r="X23" s="1" t="str">
        <f t="shared" ca="1" si="1"/>
        <v/>
      </c>
      <c r="Y23" s="1" t="str">
        <f t="shared" ca="1" si="2"/>
        <v/>
      </c>
    </row>
    <row r="24" spans="2:25" s="1" customFormat="1" ht="14.25">
      <c r="B24" s="7" t="s">
        <v>97</v>
      </c>
      <c r="C24" s="13" t="s">
        <v>98</v>
      </c>
      <c r="D24" s="7" t="s">
        <v>99</v>
      </c>
      <c r="E24" s="8" t="s">
        <v>24</v>
      </c>
      <c r="F24" s="9" t="s">
        <v>144</v>
      </c>
      <c r="G24" s="10" t="s">
        <v>70</v>
      </c>
      <c r="H24" s="11">
        <v>29404</v>
      </c>
      <c r="I24" s="10" t="s">
        <v>26</v>
      </c>
      <c r="J24" s="10" t="s">
        <v>85</v>
      </c>
      <c r="K24" s="10" t="s">
        <v>71</v>
      </c>
      <c r="L24" s="10" t="s">
        <v>29</v>
      </c>
      <c r="M24" s="10" t="s">
        <v>30</v>
      </c>
      <c r="N24" s="10" t="s">
        <v>58</v>
      </c>
      <c r="O24" s="10" t="s">
        <v>100</v>
      </c>
      <c r="P24" s="10" t="s">
        <v>101</v>
      </c>
      <c r="Q24" s="10"/>
      <c r="R24" s="14"/>
      <c r="U24" s="1" t="str">
        <f>IF(E24="Laki-Laki","Laki-Laki","")</f>
        <v>Laki-Laki</v>
      </c>
      <c r="V24" s="1" t="str">
        <f t="shared" ref="V24" si="6">IF(E24="Perempuan","Perempuan","")</f>
        <v/>
      </c>
      <c r="X24" s="1">
        <f t="shared" ca="1" si="1"/>
        <v>45</v>
      </c>
      <c r="Y24" s="1" t="str">
        <f t="shared" ca="1" si="2"/>
        <v/>
      </c>
    </row>
    <row r="25" spans="2:25" s="1" customFormat="1" ht="14.25">
      <c r="B25" s="7"/>
      <c r="C25" s="13" t="s">
        <v>102</v>
      </c>
      <c r="D25" s="7" t="s">
        <v>103</v>
      </c>
      <c r="E25" s="8" t="s">
        <v>37</v>
      </c>
      <c r="F25" s="9" t="s">
        <v>145</v>
      </c>
      <c r="G25" s="10" t="s">
        <v>104</v>
      </c>
      <c r="H25" s="11">
        <v>30814</v>
      </c>
      <c r="I25" s="10" t="s">
        <v>26</v>
      </c>
      <c r="J25" s="10" t="s">
        <v>85</v>
      </c>
      <c r="K25" s="10" t="s">
        <v>38</v>
      </c>
      <c r="L25" s="10" t="s">
        <v>29</v>
      </c>
      <c r="M25" s="10" t="s">
        <v>30</v>
      </c>
      <c r="N25" s="10" t="s">
        <v>58</v>
      </c>
      <c r="O25" s="10" t="s">
        <v>105</v>
      </c>
      <c r="P25" s="10" t="s">
        <v>106</v>
      </c>
      <c r="Q25" s="10"/>
      <c r="R25" s="14"/>
      <c r="X25" s="1" t="str">
        <f t="shared" ca="1" si="1"/>
        <v/>
      </c>
      <c r="Y25" s="1">
        <f t="shared" ca="1" si="2"/>
        <v>41</v>
      </c>
    </row>
    <row r="26" spans="2:25" s="1" customFormat="1" ht="14.25">
      <c r="B26" s="7"/>
      <c r="C26" s="13" t="s">
        <v>107</v>
      </c>
      <c r="D26" s="7" t="s">
        <v>108</v>
      </c>
      <c r="E26" s="8" t="s">
        <v>37</v>
      </c>
      <c r="F26" s="9" t="s">
        <v>146</v>
      </c>
      <c r="G26" s="10" t="s">
        <v>104</v>
      </c>
      <c r="H26" s="11">
        <v>38970</v>
      </c>
      <c r="I26" s="10" t="s">
        <v>26</v>
      </c>
      <c r="J26" s="10" t="s">
        <v>49</v>
      </c>
      <c r="K26" s="10" t="s">
        <v>44</v>
      </c>
      <c r="L26" s="10" t="s">
        <v>45</v>
      </c>
      <c r="M26" s="10" t="s">
        <v>30</v>
      </c>
      <c r="N26" s="10" t="s">
        <v>58</v>
      </c>
      <c r="O26" s="10" t="s">
        <v>98</v>
      </c>
      <c r="P26" s="10" t="s">
        <v>102</v>
      </c>
      <c r="Q26" s="10"/>
      <c r="R26" s="14"/>
      <c r="X26" s="1" t="str">
        <f t="shared" ca="1" si="1"/>
        <v/>
      </c>
      <c r="Y26" s="1">
        <f t="shared" ca="1" si="2"/>
        <v>19</v>
      </c>
    </row>
    <row r="27" spans="2:25" s="1" customFormat="1" ht="14.25">
      <c r="B27" s="7"/>
      <c r="C27" s="13" t="s">
        <v>109</v>
      </c>
      <c r="D27" s="7" t="s">
        <v>110</v>
      </c>
      <c r="E27" s="8" t="s">
        <v>37</v>
      </c>
      <c r="F27" s="9" t="s">
        <v>146</v>
      </c>
      <c r="G27" s="10" t="s">
        <v>111</v>
      </c>
      <c r="H27" s="11">
        <v>42231</v>
      </c>
      <c r="I27" s="10" t="s">
        <v>26</v>
      </c>
      <c r="J27" s="10" t="s">
        <v>52</v>
      </c>
      <c r="K27" s="10" t="s">
        <v>53</v>
      </c>
      <c r="L27" s="10" t="s">
        <v>45</v>
      </c>
      <c r="M27" s="10" t="s">
        <v>30</v>
      </c>
      <c r="N27" s="10" t="s">
        <v>58</v>
      </c>
      <c r="O27" s="10" t="s">
        <v>98</v>
      </c>
      <c r="P27" s="10" t="s">
        <v>102</v>
      </c>
      <c r="Q27" s="10"/>
      <c r="R27" s="14"/>
      <c r="X27" s="1" t="str">
        <f t="shared" ca="1" si="1"/>
        <v/>
      </c>
      <c r="Y27" s="1">
        <f t="shared" ca="1" si="2"/>
        <v>10</v>
      </c>
    </row>
    <row r="28" spans="2:25" s="1" customFormat="1" ht="14.25">
      <c r="B28" s="7"/>
      <c r="C28" s="13" t="s">
        <v>112</v>
      </c>
      <c r="D28" s="7" t="s">
        <v>113</v>
      </c>
      <c r="E28" s="8" t="s">
        <v>24</v>
      </c>
      <c r="F28" s="9" t="s">
        <v>146</v>
      </c>
      <c r="G28" s="10" t="s">
        <v>111</v>
      </c>
      <c r="H28" s="11">
        <v>42611</v>
      </c>
      <c r="I28" s="10" t="s">
        <v>26</v>
      </c>
      <c r="J28" s="10" t="s">
        <v>52</v>
      </c>
      <c r="K28" s="10" t="s">
        <v>53</v>
      </c>
      <c r="L28" s="10" t="s">
        <v>45</v>
      </c>
      <c r="M28" s="10" t="s">
        <v>30</v>
      </c>
      <c r="N28" s="10" t="s">
        <v>58</v>
      </c>
      <c r="O28" s="10" t="s">
        <v>98</v>
      </c>
      <c r="P28" s="10" t="s">
        <v>102</v>
      </c>
      <c r="Q28" s="10"/>
      <c r="R28" s="14"/>
      <c r="X28" s="1">
        <f t="shared" ca="1" si="1"/>
        <v>9</v>
      </c>
      <c r="Y28" s="1" t="str">
        <f t="shared" ca="1" si="2"/>
        <v/>
      </c>
    </row>
    <row r="29" spans="2:25" s="1" customFormat="1" ht="14.25">
      <c r="B29" s="7"/>
      <c r="C29" s="13"/>
      <c r="D29" s="7"/>
      <c r="E29" s="8"/>
      <c r="F29" s="9"/>
      <c r="G29" s="10"/>
      <c r="H29" s="11"/>
      <c r="I29" s="10"/>
      <c r="J29" s="10"/>
      <c r="K29" s="10"/>
      <c r="L29" s="10"/>
      <c r="M29" s="10" t="s">
        <v>30</v>
      </c>
      <c r="N29" s="10"/>
      <c r="O29" s="10"/>
      <c r="P29" s="10"/>
      <c r="Q29" s="10"/>
      <c r="R29" s="14"/>
      <c r="X29" s="1" t="str">
        <f t="shared" ca="1" si="1"/>
        <v/>
      </c>
      <c r="Y29" s="1" t="str">
        <f t="shared" ca="1" si="2"/>
        <v/>
      </c>
    </row>
    <row r="30" spans="2:25" s="1" customFormat="1" ht="14.25">
      <c r="B30" s="7" t="s">
        <v>114</v>
      </c>
      <c r="C30" s="13" t="s">
        <v>115</v>
      </c>
      <c r="D30" s="7" t="s">
        <v>116</v>
      </c>
      <c r="E30" s="8" t="s">
        <v>24</v>
      </c>
      <c r="F30" s="9" t="s">
        <v>144</v>
      </c>
      <c r="G30" s="10" t="s">
        <v>25</v>
      </c>
      <c r="H30" s="11">
        <v>34824</v>
      </c>
      <c r="I30" s="10" t="s">
        <v>26</v>
      </c>
      <c r="J30" s="10" t="s">
        <v>85</v>
      </c>
      <c r="K30" s="10" t="s">
        <v>117</v>
      </c>
      <c r="L30" s="10" t="s">
        <v>29</v>
      </c>
      <c r="M30" s="10" t="s">
        <v>30</v>
      </c>
      <c r="N30" s="10" t="s">
        <v>31</v>
      </c>
      <c r="O30" s="10" t="s">
        <v>118</v>
      </c>
      <c r="P30" s="10" t="s">
        <v>119</v>
      </c>
      <c r="Q30" s="10"/>
      <c r="R30" s="14"/>
      <c r="U30" s="1" t="str">
        <f>IF(E30="Laki-Laki","Laki-Laki","")</f>
        <v>Laki-Laki</v>
      </c>
      <c r="V30" s="1" t="str">
        <f t="shared" ref="V30" si="7">IF(E30="Perempuan","Perempuan","")</f>
        <v/>
      </c>
      <c r="X30" s="1">
        <f t="shared" ca="1" si="1"/>
        <v>30</v>
      </c>
      <c r="Y30" s="1" t="str">
        <f t="shared" ca="1" si="2"/>
        <v/>
      </c>
    </row>
    <row r="31" spans="2:25" s="1" customFormat="1" ht="14.25">
      <c r="B31" s="7"/>
      <c r="C31" s="13" t="s">
        <v>120</v>
      </c>
      <c r="D31" s="7" t="s">
        <v>121</v>
      </c>
      <c r="E31" s="8" t="s">
        <v>37</v>
      </c>
      <c r="F31" s="9" t="s">
        <v>145</v>
      </c>
      <c r="G31" s="10" t="s">
        <v>25</v>
      </c>
      <c r="H31" s="11">
        <v>35756</v>
      </c>
      <c r="I31" s="10" t="s">
        <v>26</v>
      </c>
      <c r="J31" s="10" t="s">
        <v>85</v>
      </c>
      <c r="K31" s="10" t="s">
        <v>38</v>
      </c>
      <c r="L31" s="10" t="s">
        <v>29</v>
      </c>
      <c r="M31" s="10" t="s">
        <v>30</v>
      </c>
      <c r="N31" s="10" t="s">
        <v>31</v>
      </c>
      <c r="O31" s="10" t="s">
        <v>122</v>
      </c>
      <c r="P31" s="10" t="s">
        <v>123</v>
      </c>
      <c r="Q31" s="10"/>
      <c r="R31" s="14"/>
      <c r="X31" s="1" t="str">
        <f t="shared" ca="1" si="1"/>
        <v/>
      </c>
      <c r="Y31" s="1">
        <f t="shared" ca="1" si="2"/>
        <v>28</v>
      </c>
    </row>
    <row r="32" spans="2:25" s="1" customFormat="1" ht="14.25">
      <c r="B32" s="7"/>
      <c r="C32" s="13" t="s">
        <v>124</v>
      </c>
      <c r="D32" s="7" t="s">
        <v>125</v>
      </c>
      <c r="E32" s="8" t="s">
        <v>37</v>
      </c>
      <c r="F32" s="9" t="s">
        <v>146</v>
      </c>
      <c r="G32" s="10" t="s">
        <v>25</v>
      </c>
      <c r="H32" s="11">
        <v>42959</v>
      </c>
      <c r="I32" s="10" t="s">
        <v>26</v>
      </c>
      <c r="J32" s="10" t="s">
        <v>52</v>
      </c>
      <c r="K32" s="10" t="s">
        <v>53</v>
      </c>
      <c r="L32" s="10" t="s">
        <v>45</v>
      </c>
      <c r="M32" s="10" t="s">
        <v>30</v>
      </c>
      <c r="N32" s="10" t="s">
        <v>31</v>
      </c>
      <c r="O32" s="10" t="s">
        <v>115</v>
      </c>
      <c r="P32" s="10" t="s">
        <v>120</v>
      </c>
      <c r="Q32" s="10"/>
      <c r="R32" s="14"/>
      <c r="X32" s="1" t="str">
        <f t="shared" ca="1" si="1"/>
        <v/>
      </c>
      <c r="Y32" s="1">
        <f t="shared" ca="1" si="2"/>
        <v>8</v>
      </c>
    </row>
    <row r="33" spans="2:25" s="1" customFormat="1" ht="14.25">
      <c r="B33" s="7"/>
      <c r="C33" s="13" t="s">
        <v>126</v>
      </c>
      <c r="D33" s="7" t="s">
        <v>127</v>
      </c>
      <c r="E33" s="8" t="s">
        <v>24</v>
      </c>
      <c r="F33" s="9" t="s">
        <v>146</v>
      </c>
      <c r="G33" s="10" t="s">
        <v>25</v>
      </c>
      <c r="H33" s="11">
        <v>44693</v>
      </c>
      <c r="I33" s="10" t="s">
        <v>26</v>
      </c>
      <c r="J33" s="10" t="s">
        <v>52</v>
      </c>
      <c r="K33" s="10" t="s">
        <v>53</v>
      </c>
      <c r="L33" s="10" t="s">
        <v>45</v>
      </c>
      <c r="M33" s="10" t="s">
        <v>30</v>
      </c>
      <c r="N33" s="10" t="s">
        <v>31</v>
      </c>
      <c r="O33" s="10" t="s">
        <v>115</v>
      </c>
      <c r="P33" s="10" t="s">
        <v>120</v>
      </c>
      <c r="Q33" s="10"/>
      <c r="R33" s="14"/>
      <c r="X33" s="1">
        <f t="shared" ca="1" si="1"/>
        <v>3</v>
      </c>
      <c r="Y33" s="1" t="str">
        <f t="shared" ca="1" si="2"/>
        <v/>
      </c>
    </row>
    <row r="34" spans="2:25" s="1" customFormat="1" ht="14.25">
      <c r="B34" s="7"/>
      <c r="C34" s="13"/>
      <c r="D34" s="7"/>
      <c r="E34" s="8"/>
      <c r="F34" s="9"/>
      <c r="G34" s="10"/>
      <c r="H34" s="11"/>
      <c r="I34" s="10"/>
      <c r="J34" s="10"/>
      <c r="K34" s="10"/>
      <c r="L34" s="10"/>
      <c r="M34" s="10" t="s">
        <v>30</v>
      </c>
      <c r="N34" s="10"/>
      <c r="O34" s="10"/>
      <c r="P34" s="10"/>
      <c r="Q34" s="10"/>
      <c r="R34" s="14"/>
      <c r="X34" s="1" t="str">
        <f t="shared" ca="1" si="1"/>
        <v/>
      </c>
      <c r="Y34" s="1" t="str">
        <f t="shared" ca="1" si="2"/>
        <v/>
      </c>
    </row>
    <row r="35" spans="2:25" s="1" customFormat="1" ht="14.25">
      <c r="B35" s="7" t="s">
        <v>128</v>
      </c>
      <c r="C35" s="13" t="s">
        <v>129</v>
      </c>
      <c r="D35" s="7" t="s">
        <v>128</v>
      </c>
      <c r="E35" s="8" t="s">
        <v>24</v>
      </c>
      <c r="F35" s="9" t="s">
        <v>144</v>
      </c>
      <c r="G35" s="10" t="s">
        <v>25</v>
      </c>
      <c r="H35" s="11">
        <v>22731</v>
      </c>
      <c r="I35" s="10" t="s">
        <v>26</v>
      </c>
      <c r="J35" s="10" t="s">
        <v>130</v>
      </c>
      <c r="K35" s="10" t="s">
        <v>131</v>
      </c>
      <c r="L35" s="10" t="s">
        <v>29</v>
      </c>
      <c r="M35" s="10" t="s">
        <v>30</v>
      </c>
      <c r="N35" s="10" t="s">
        <v>58</v>
      </c>
      <c r="O35" s="10" t="s">
        <v>132</v>
      </c>
      <c r="P35" s="10" t="s">
        <v>133</v>
      </c>
      <c r="Q35" s="10"/>
      <c r="R35" s="14"/>
      <c r="U35" s="1" t="str">
        <f>IF(E35="Laki-Laki","Laki-Laki","")</f>
        <v>Laki-Laki</v>
      </c>
      <c r="V35" s="1" t="str">
        <f t="shared" ref="V35" si="8">IF(E35="Perempuan","Perempuan","")</f>
        <v/>
      </c>
      <c r="X35" s="1">
        <f t="shared" ca="1" si="1"/>
        <v>64</v>
      </c>
      <c r="Y35" s="1" t="str">
        <f t="shared" ca="1" si="2"/>
        <v/>
      </c>
    </row>
    <row r="36" spans="2:25" s="1" customFormat="1" ht="14.25">
      <c r="B36" s="7"/>
      <c r="C36" s="13" t="s">
        <v>134</v>
      </c>
      <c r="D36" s="7" t="s">
        <v>135</v>
      </c>
      <c r="E36" s="8" t="s">
        <v>37</v>
      </c>
      <c r="F36" s="9" t="s">
        <v>145</v>
      </c>
      <c r="G36" s="10" t="s">
        <v>70</v>
      </c>
      <c r="H36" s="11">
        <v>25478</v>
      </c>
      <c r="I36" s="10" t="s">
        <v>26</v>
      </c>
      <c r="J36" s="10" t="s">
        <v>130</v>
      </c>
      <c r="K36" s="10" t="s">
        <v>38</v>
      </c>
      <c r="L36" s="10" t="s">
        <v>29</v>
      </c>
      <c r="M36" s="10" t="s">
        <v>30</v>
      </c>
      <c r="N36" s="10" t="s">
        <v>58</v>
      </c>
      <c r="O36" s="10" t="s">
        <v>136</v>
      </c>
      <c r="P36" s="10" t="s">
        <v>137</v>
      </c>
      <c r="Q36" s="10"/>
      <c r="R36" s="14"/>
      <c r="X36" s="1" t="str">
        <f t="shared" ca="1" si="1"/>
        <v/>
      </c>
      <c r="Y36" s="1">
        <f t="shared" ca="1" si="2"/>
        <v>56</v>
      </c>
    </row>
    <row r="37" spans="2:25" s="1" customFormat="1" ht="14.25">
      <c r="B37" s="7"/>
      <c r="C37" s="13" t="s">
        <v>138</v>
      </c>
      <c r="D37" s="7" t="s">
        <v>139</v>
      </c>
      <c r="E37" s="8" t="s">
        <v>37</v>
      </c>
      <c r="F37" s="9" t="s">
        <v>146</v>
      </c>
      <c r="G37" s="10" t="s">
        <v>70</v>
      </c>
      <c r="H37" s="11">
        <v>35032</v>
      </c>
      <c r="I37" s="10" t="s">
        <v>26</v>
      </c>
      <c r="J37" s="10" t="s">
        <v>85</v>
      </c>
      <c r="K37" s="10" t="s">
        <v>53</v>
      </c>
      <c r="L37" s="10" t="s">
        <v>45</v>
      </c>
      <c r="M37" s="10" t="s">
        <v>30</v>
      </c>
      <c r="N37" s="10" t="s">
        <v>58</v>
      </c>
      <c r="O37" s="10" t="s">
        <v>129</v>
      </c>
      <c r="P37" s="10" t="s">
        <v>134</v>
      </c>
      <c r="Q37" s="10"/>
      <c r="R37" s="14"/>
      <c r="X37" s="1" t="str">
        <f t="shared" ca="1" si="1"/>
        <v/>
      </c>
      <c r="Y37" s="1">
        <f t="shared" ca="1" si="2"/>
        <v>30</v>
      </c>
    </row>
    <row r="38" spans="2:25" s="1" customFormat="1" ht="14.25">
      <c r="B38" s="7"/>
      <c r="C38" s="13" t="s">
        <v>140</v>
      </c>
      <c r="D38" s="7" t="s">
        <v>141</v>
      </c>
      <c r="E38" s="8" t="s">
        <v>37</v>
      </c>
      <c r="F38" s="9" t="s">
        <v>146</v>
      </c>
      <c r="G38" s="10" t="s">
        <v>70</v>
      </c>
      <c r="H38" s="11">
        <v>37521</v>
      </c>
      <c r="I38" s="10" t="s">
        <v>26</v>
      </c>
      <c r="J38" s="10" t="s">
        <v>49</v>
      </c>
      <c r="K38" s="10" t="s">
        <v>53</v>
      </c>
      <c r="L38" s="10" t="s">
        <v>45</v>
      </c>
      <c r="M38" s="10" t="s">
        <v>30</v>
      </c>
      <c r="N38" s="10" t="s">
        <v>58</v>
      </c>
      <c r="O38" s="10" t="s">
        <v>129</v>
      </c>
      <c r="P38" s="10" t="s">
        <v>134</v>
      </c>
      <c r="Q38" s="10"/>
      <c r="R38" s="14"/>
      <c r="X38" s="1" t="str">
        <f t="shared" ca="1" si="1"/>
        <v/>
      </c>
      <c r="Y38" s="1">
        <f t="shared" ca="1" si="2"/>
        <v>23</v>
      </c>
    </row>
    <row r="39" spans="2:25" s="1" customFormat="1" ht="14.25">
      <c r="B39" s="7"/>
      <c r="C39" s="13" t="s">
        <v>142</v>
      </c>
      <c r="D39" s="7" t="s">
        <v>143</v>
      </c>
      <c r="E39" s="8" t="s">
        <v>37</v>
      </c>
      <c r="F39" s="9" t="s">
        <v>146</v>
      </c>
      <c r="G39" s="10" t="s">
        <v>25</v>
      </c>
      <c r="H39" s="11">
        <v>40151</v>
      </c>
      <c r="I39" s="10" t="s">
        <v>26</v>
      </c>
      <c r="J39" s="10" t="s">
        <v>52</v>
      </c>
      <c r="K39" s="10" t="s">
        <v>53</v>
      </c>
      <c r="L39" s="10" t="s">
        <v>45</v>
      </c>
      <c r="M39" s="10" t="s">
        <v>30</v>
      </c>
      <c r="N39" s="10" t="s">
        <v>58</v>
      </c>
      <c r="O39" s="10" t="s">
        <v>129</v>
      </c>
      <c r="P39" s="10" t="s">
        <v>134</v>
      </c>
      <c r="Q39" s="10"/>
      <c r="R39" s="14"/>
      <c r="X39" s="1" t="str">
        <f t="shared" ca="1" si="1"/>
        <v/>
      </c>
      <c r="Y39" s="1">
        <f t="shared" ca="1" si="2"/>
        <v>16</v>
      </c>
    </row>
    <row r="40" spans="2:25" s="1" customFormat="1" ht="14.25">
      <c r="B40" s="7"/>
      <c r="C40" s="13"/>
      <c r="D40" s="7"/>
      <c r="E40" s="8"/>
      <c r="F40" s="9"/>
      <c r="G40" s="10"/>
      <c r="H40" s="11"/>
      <c r="I40" s="10"/>
      <c r="J40" s="10"/>
      <c r="K40" s="10"/>
      <c r="L40" s="10"/>
      <c r="M40" s="10" t="s">
        <v>30</v>
      </c>
      <c r="N40" s="10"/>
      <c r="O40" s="10"/>
      <c r="P40" s="10"/>
      <c r="Q40" s="10"/>
      <c r="R40" s="14"/>
      <c r="X40" s="1" t="str">
        <f t="shared" ca="1" si="1"/>
        <v/>
      </c>
      <c r="Y40" s="1" t="str">
        <f t="shared" ca="1" si="2"/>
        <v/>
      </c>
    </row>
    <row r="41" spans="2:25" s="1" customFormat="1" ht="14.25">
      <c r="B41" s="7"/>
      <c r="C41" s="13"/>
      <c r="D41" s="7"/>
      <c r="E41" s="8"/>
      <c r="F41" s="9"/>
      <c r="G41" s="10"/>
      <c r="H41" s="11"/>
      <c r="I41" s="10"/>
      <c r="J41" s="10"/>
      <c r="K41" s="10"/>
      <c r="L41" s="10"/>
      <c r="M41" s="10" t="s">
        <v>30</v>
      </c>
      <c r="N41" s="10"/>
      <c r="O41" s="10"/>
      <c r="P41" s="10"/>
      <c r="Q41" s="10"/>
      <c r="R41" s="14"/>
      <c r="X41" s="1" t="str">
        <f t="shared" ca="1" si="1"/>
        <v/>
      </c>
      <c r="Y41" s="1" t="str">
        <f t="shared" ca="1" si="2"/>
        <v/>
      </c>
    </row>
  </sheetData>
  <mergeCells count="19">
    <mergeCell ref="R4:R8"/>
    <mergeCell ref="N2:N3"/>
    <mergeCell ref="O2:P2"/>
    <mergeCell ref="Q2:Q3"/>
    <mergeCell ref="R2:R3"/>
    <mergeCell ref="U2:V2"/>
    <mergeCell ref="X2:Y2"/>
    <mergeCell ref="H2:H3"/>
    <mergeCell ref="I2:I3"/>
    <mergeCell ref="J2:J3"/>
    <mergeCell ref="K2:K3"/>
    <mergeCell ref="L2:L3"/>
    <mergeCell ref="M2:M3"/>
    <mergeCell ref="G2:G3"/>
    <mergeCell ref="B2:B3"/>
    <mergeCell ref="C2:C3"/>
    <mergeCell ref="D2:D3"/>
    <mergeCell ref="E2:E3"/>
    <mergeCell ref="F2:F3"/>
  </mergeCells>
  <conditionalFormatting sqref="B2:B3">
    <cfRule type="duplicateValues" dxfId="19" priority="20"/>
  </conditionalFormatting>
  <conditionalFormatting sqref="B2:B3">
    <cfRule type="duplicateValues" dxfId="18" priority="19"/>
  </conditionalFormatting>
  <conditionalFormatting sqref="D2:D3">
    <cfRule type="duplicateValues" dxfId="17" priority="18"/>
  </conditionalFormatting>
  <conditionalFormatting sqref="D4">
    <cfRule type="duplicateValues" dxfId="16" priority="17"/>
  </conditionalFormatting>
  <conditionalFormatting sqref="D5:D14">
    <cfRule type="duplicateValues" dxfId="15" priority="16"/>
  </conditionalFormatting>
  <conditionalFormatting sqref="D15:D20">
    <cfRule type="duplicateValues" dxfId="14" priority="15"/>
  </conditionalFormatting>
  <conditionalFormatting sqref="D21:D26">
    <cfRule type="duplicateValues" dxfId="13" priority="14"/>
  </conditionalFormatting>
  <conditionalFormatting sqref="D27:D32">
    <cfRule type="duplicateValues" dxfId="12" priority="13"/>
  </conditionalFormatting>
  <conditionalFormatting sqref="D33:D38">
    <cfRule type="duplicateValues" dxfId="11" priority="12"/>
  </conditionalFormatting>
  <conditionalFormatting sqref="D39">
    <cfRule type="duplicateValues" dxfId="10" priority="11"/>
  </conditionalFormatting>
  <conditionalFormatting sqref="B2:B3">
    <cfRule type="duplicateValues" dxfId="9" priority="10"/>
  </conditionalFormatting>
  <conditionalFormatting sqref="B2:B3">
    <cfRule type="duplicateValues" dxfId="8" priority="9"/>
  </conditionalFormatting>
  <conditionalFormatting sqref="D2:D3">
    <cfRule type="duplicateValues" dxfId="7" priority="8"/>
  </conditionalFormatting>
  <conditionalFormatting sqref="D4">
    <cfRule type="duplicateValues" dxfId="6" priority="7"/>
  </conditionalFormatting>
  <conditionalFormatting sqref="D5:D14">
    <cfRule type="duplicateValues" dxfId="5" priority="6"/>
  </conditionalFormatting>
  <conditionalFormatting sqref="D15:D20">
    <cfRule type="duplicateValues" dxfId="4" priority="5"/>
  </conditionalFormatting>
  <conditionalFormatting sqref="D21:D26">
    <cfRule type="duplicateValues" dxfId="3" priority="4"/>
  </conditionalFormatting>
  <conditionalFormatting sqref="D27:D32">
    <cfRule type="duplicateValues" dxfId="2" priority="3"/>
  </conditionalFormatting>
  <conditionalFormatting sqref="D33:D38">
    <cfRule type="duplicateValues" dxfId="1" priority="2"/>
  </conditionalFormatting>
  <conditionalFormatting sqref="D39:D41">
    <cfRule type="duplicateValues" dxfId="0" priority="1"/>
  </conditionalFormatting>
  <dataValidations count="8">
    <dataValidation type="list" allowBlank="1" showInputMessage="1" showErrorMessage="1" sqref="E4:E41">
      <formula1>"Laki-Laki,Perempuan"</formula1>
    </dataValidation>
    <dataValidation type="list" allowBlank="1" showInputMessage="1" showErrorMessage="1" sqref="I4:I41">
      <formula1>"ISLAM,KRISTEN,HIDU,BUDHA"</formula1>
    </dataValidation>
    <dataValidation type="list" allowBlank="1" showInputMessage="1" showErrorMessage="1" sqref="J4:J41">
      <formula1>"TIDAK/BELUM SEKOLAH,BELUM TAMAT SD/SEDERAJAT,TIDAK TAMAT SD/SEDERAJAT,SD/SEDERAJAT,SMP/SEDERAJAT,SMA/SEDERAJAT,PAKET A,PAKET B,PAKET C,SLB,D1,D2,D3,S1,S2,S3"</formula1>
    </dataValidation>
    <dataValidation type="list" allowBlank="1" showInputMessage="1" showErrorMessage="1" sqref="K4:K41">
      <formula1>"PELAJAR/MAHASISWA,PNS,SOPIR,USTADZ/MUBALIGH,PEDAGANG,BELUM/TIDAKBEKERJA,BURUH HARIAN LEPAS,MENGURUS RUMAH TANGGA,WIRASWASTA,PEGAWAI ASN,KARAWAN SWASTA,WIRASWASTA,TNI,POLRI"</formula1>
    </dataValidation>
    <dataValidation type="list" allowBlank="1" showInputMessage="1" showErrorMessage="1" sqref="L4:L41">
      <formula1>"BELUM MENIKAH,KAWIN,CERAI HIDUP,CERAI MATI"</formula1>
    </dataValidation>
    <dataValidation type="textLength" allowBlank="1" showInputMessage="1" showErrorMessage="1" sqref="D4:D41 B5:B41">
      <formula1>16</formula1>
      <formula2>16</formula2>
    </dataValidation>
    <dataValidation type="list" allowBlank="1" showInputMessage="1" showErrorMessage="1" sqref="N4:N41">
      <formula1>"TETAP,KONTRAN,NUMPANG KELUARGA,MERANTAU,PINDAH DOMISILI"</formula1>
    </dataValidation>
    <dataValidation type="list" allowBlank="1" showInputMessage="1" showErrorMessage="1" sqref="F4:F41">
      <formula1>"Kepala Keluarga,Kepalan Keluarga/Suami,Kepala Keluarga/Istri,Suami,Istri,Anak,Paman,Tante,ponakan,Keluarga Dari Istri,Keluarga Dari Suami:dll"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</dc:creator>
  <cp:lastModifiedBy>Herman</cp:lastModifiedBy>
  <dcterms:created xsi:type="dcterms:W3CDTF">2026-03-31T15:03:57Z</dcterms:created>
  <dcterms:modified xsi:type="dcterms:W3CDTF">2026-04-11T15:00:31Z</dcterms:modified>
</cp:coreProperties>
</file>